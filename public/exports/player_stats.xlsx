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y Drive\Football Game Archive\"/>
    </mc:Choice>
  </mc:AlternateContent>
  <xr:revisionPtr revIDLastSave="0" documentId="13_ncr:1_{5F3433D4-765B-4B08-BD85-16C1345E484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H66" i="1"/>
  <c r="G66" i="1"/>
  <c r="F66" i="1"/>
  <c r="I66" i="1" s="1"/>
  <c r="J65" i="1"/>
  <c r="H65" i="1"/>
  <c r="G65" i="1"/>
  <c r="F65" i="1"/>
  <c r="I65" i="1" s="1"/>
  <c r="J64" i="1"/>
  <c r="H64" i="1"/>
  <c r="G64" i="1"/>
  <c r="F64" i="1"/>
  <c r="I64" i="1" s="1"/>
  <c r="J63" i="1"/>
  <c r="H63" i="1"/>
  <c r="G63" i="1"/>
  <c r="F63" i="1"/>
  <c r="J62" i="1"/>
  <c r="H62" i="1"/>
  <c r="G62" i="1"/>
  <c r="F62" i="1"/>
  <c r="J61" i="1"/>
  <c r="H61" i="1"/>
  <c r="G61" i="1"/>
  <c r="F61" i="1"/>
  <c r="I61" i="1" s="1"/>
  <c r="J60" i="1"/>
  <c r="H60" i="1"/>
  <c r="G60" i="1"/>
  <c r="F60" i="1"/>
  <c r="J59" i="1"/>
  <c r="H59" i="1"/>
  <c r="G59" i="1"/>
  <c r="F59" i="1"/>
  <c r="I59" i="1" s="1"/>
  <c r="J58" i="1"/>
  <c r="H58" i="1"/>
  <c r="G58" i="1"/>
  <c r="F58" i="1"/>
  <c r="I58" i="1" s="1"/>
  <c r="J57" i="1"/>
  <c r="H57" i="1"/>
  <c r="G57" i="1"/>
  <c r="I57" i="1" s="1"/>
  <c r="F57" i="1"/>
  <c r="J56" i="1"/>
  <c r="H56" i="1"/>
  <c r="G56" i="1"/>
  <c r="F56" i="1"/>
  <c r="I56" i="1" s="1"/>
  <c r="J55" i="1"/>
  <c r="H55" i="1"/>
  <c r="G55" i="1"/>
  <c r="F55" i="1"/>
  <c r="J54" i="1"/>
  <c r="H54" i="1"/>
  <c r="G54" i="1"/>
  <c r="F54" i="1"/>
  <c r="I54" i="1" s="1"/>
  <c r="J53" i="1"/>
  <c r="H53" i="1"/>
  <c r="G53" i="1"/>
  <c r="F53" i="1"/>
  <c r="I53" i="1" s="1"/>
  <c r="J52" i="1"/>
  <c r="H52" i="1"/>
  <c r="G52" i="1"/>
  <c r="F52" i="1"/>
  <c r="I52" i="1" s="1"/>
  <c r="J51" i="1"/>
  <c r="H51" i="1"/>
  <c r="G51" i="1"/>
  <c r="F51" i="1"/>
  <c r="I51" i="1" s="1"/>
  <c r="J50" i="1"/>
  <c r="I50" i="1"/>
  <c r="H50" i="1"/>
  <c r="G50" i="1"/>
  <c r="F50" i="1"/>
  <c r="J49" i="1"/>
  <c r="H49" i="1"/>
  <c r="G49" i="1"/>
  <c r="F49" i="1"/>
  <c r="I49" i="1" s="1"/>
  <c r="J48" i="1"/>
  <c r="H48" i="1"/>
  <c r="G48" i="1"/>
  <c r="F48" i="1"/>
  <c r="J47" i="1"/>
  <c r="H47" i="1"/>
  <c r="G47" i="1"/>
  <c r="F47" i="1"/>
  <c r="J46" i="1"/>
  <c r="H46" i="1"/>
  <c r="G46" i="1"/>
  <c r="F46" i="1"/>
  <c r="I46" i="1" s="1"/>
  <c r="J45" i="1"/>
  <c r="H45" i="1"/>
  <c r="G45" i="1"/>
  <c r="F45" i="1"/>
  <c r="I45" i="1" s="1"/>
  <c r="J44" i="1"/>
  <c r="H44" i="1"/>
  <c r="G44" i="1"/>
  <c r="F44" i="1"/>
  <c r="I44" i="1" s="1"/>
  <c r="J43" i="1"/>
  <c r="H43" i="1"/>
  <c r="G43" i="1"/>
  <c r="F43" i="1"/>
  <c r="I43" i="1" s="1"/>
  <c r="J42" i="1"/>
  <c r="H42" i="1"/>
  <c r="G42" i="1"/>
  <c r="F42" i="1"/>
  <c r="I42" i="1" s="1"/>
  <c r="J41" i="1"/>
  <c r="H41" i="1"/>
  <c r="G41" i="1"/>
  <c r="F41" i="1"/>
  <c r="J40" i="1"/>
  <c r="H40" i="1"/>
  <c r="G40" i="1"/>
  <c r="F40" i="1"/>
  <c r="J39" i="1"/>
  <c r="H39" i="1"/>
  <c r="G39" i="1"/>
  <c r="F39" i="1"/>
  <c r="I39" i="1" s="1"/>
  <c r="J38" i="1"/>
  <c r="H38" i="1"/>
  <c r="G38" i="1"/>
  <c r="F38" i="1"/>
  <c r="I38" i="1" s="1"/>
  <c r="J37" i="1"/>
  <c r="H37" i="1"/>
  <c r="G37" i="1"/>
  <c r="F37" i="1"/>
  <c r="J36" i="1"/>
  <c r="H36" i="1"/>
  <c r="G36" i="1"/>
  <c r="F36" i="1"/>
  <c r="I36" i="1" s="1"/>
  <c r="J35" i="1"/>
  <c r="H35" i="1"/>
  <c r="G35" i="1"/>
  <c r="F35" i="1"/>
  <c r="I35" i="1" s="1"/>
  <c r="J34" i="1"/>
  <c r="H34" i="1"/>
  <c r="G34" i="1"/>
  <c r="I34" i="1" s="1"/>
  <c r="F34" i="1"/>
  <c r="J33" i="1"/>
  <c r="H33" i="1"/>
  <c r="G33" i="1"/>
  <c r="F33" i="1"/>
  <c r="I33" i="1" s="1"/>
  <c r="J32" i="1"/>
  <c r="H32" i="1"/>
  <c r="G32" i="1"/>
  <c r="F32" i="1"/>
  <c r="I32" i="1" s="1"/>
  <c r="J31" i="1"/>
  <c r="H31" i="1"/>
  <c r="G31" i="1"/>
  <c r="F31" i="1"/>
  <c r="I31" i="1" s="1"/>
  <c r="J30" i="1"/>
  <c r="H30" i="1"/>
  <c r="G30" i="1"/>
  <c r="F30" i="1"/>
  <c r="I30" i="1" s="1"/>
  <c r="J29" i="1"/>
  <c r="H29" i="1"/>
  <c r="G29" i="1"/>
  <c r="F29" i="1"/>
  <c r="I29" i="1" s="1"/>
  <c r="J28" i="1"/>
  <c r="H28" i="1"/>
  <c r="G28" i="1"/>
  <c r="F28" i="1"/>
  <c r="I28" i="1" s="1"/>
  <c r="J27" i="1"/>
  <c r="H27" i="1"/>
  <c r="G27" i="1"/>
  <c r="I27" i="1" s="1"/>
  <c r="F27" i="1"/>
  <c r="J26" i="1"/>
  <c r="H26" i="1"/>
  <c r="G26" i="1"/>
  <c r="F26" i="1"/>
  <c r="I26" i="1" s="1"/>
  <c r="J25" i="1"/>
  <c r="H25" i="1"/>
  <c r="G25" i="1"/>
  <c r="F25" i="1"/>
  <c r="I25" i="1" s="1"/>
  <c r="J24" i="1"/>
  <c r="I24" i="1"/>
  <c r="H24" i="1"/>
  <c r="G24" i="1"/>
  <c r="F24" i="1"/>
  <c r="J23" i="1"/>
  <c r="H23" i="1"/>
  <c r="G23" i="1"/>
  <c r="F23" i="1"/>
  <c r="I23" i="1" s="1"/>
  <c r="J22" i="1"/>
  <c r="H22" i="1"/>
  <c r="G22" i="1"/>
  <c r="F22" i="1"/>
  <c r="I22" i="1" s="1"/>
  <c r="J21" i="1"/>
  <c r="H21" i="1"/>
  <c r="G21" i="1"/>
  <c r="F21" i="1"/>
  <c r="J20" i="1"/>
  <c r="H20" i="1"/>
  <c r="G20" i="1"/>
  <c r="F20" i="1"/>
  <c r="J19" i="1"/>
  <c r="H19" i="1"/>
  <c r="G19" i="1"/>
  <c r="F19" i="1"/>
  <c r="I19" i="1" s="1"/>
  <c r="J18" i="1"/>
  <c r="H18" i="1"/>
  <c r="G18" i="1"/>
  <c r="F18" i="1"/>
  <c r="I18" i="1" s="1"/>
  <c r="J17" i="1"/>
  <c r="I17" i="1"/>
  <c r="H17" i="1"/>
  <c r="G17" i="1"/>
  <c r="F17" i="1"/>
  <c r="J16" i="1"/>
  <c r="H16" i="1"/>
  <c r="G16" i="1"/>
  <c r="F16" i="1"/>
  <c r="I16" i="1" s="1"/>
  <c r="J15" i="1"/>
  <c r="H15" i="1"/>
  <c r="G15" i="1"/>
  <c r="F15" i="1"/>
  <c r="I15" i="1" s="1"/>
  <c r="J14" i="1"/>
  <c r="H14" i="1"/>
  <c r="G14" i="1"/>
  <c r="F14" i="1"/>
  <c r="I14" i="1" s="1"/>
  <c r="J13" i="1"/>
  <c r="H13" i="1"/>
  <c r="G13" i="1"/>
  <c r="I13" i="1" s="1"/>
  <c r="F13" i="1"/>
  <c r="J12" i="1"/>
  <c r="H12" i="1"/>
  <c r="G12" i="1"/>
  <c r="F12" i="1"/>
  <c r="I12" i="1" s="1"/>
  <c r="J11" i="1"/>
  <c r="H11" i="1"/>
  <c r="G11" i="1"/>
  <c r="F11" i="1"/>
  <c r="J10" i="1"/>
  <c r="H10" i="1"/>
  <c r="G10" i="1"/>
  <c r="F10" i="1"/>
  <c r="I10" i="1" s="1"/>
  <c r="J9" i="1"/>
  <c r="H9" i="1"/>
  <c r="G9" i="1"/>
  <c r="F9" i="1"/>
  <c r="I9" i="1" s="1"/>
  <c r="J8" i="1"/>
  <c r="H8" i="1"/>
  <c r="G8" i="1"/>
  <c r="I8" i="1" s="1"/>
  <c r="F8" i="1"/>
  <c r="J7" i="1"/>
  <c r="H7" i="1"/>
  <c r="G7" i="1"/>
  <c r="F7" i="1"/>
  <c r="I7" i="1" s="1"/>
  <c r="J6" i="1"/>
  <c r="H6" i="1"/>
  <c r="G6" i="1"/>
  <c r="F6" i="1"/>
  <c r="J5" i="1"/>
  <c r="H5" i="1"/>
  <c r="G5" i="1"/>
  <c r="F5" i="1"/>
  <c r="I5" i="1" s="1"/>
  <c r="J4" i="1"/>
  <c r="H4" i="1"/>
  <c r="G4" i="1"/>
  <c r="F4" i="1"/>
  <c r="I4" i="1" s="1"/>
  <c r="J3" i="1"/>
  <c r="H3" i="1"/>
  <c r="G3" i="1"/>
  <c r="F3" i="1"/>
  <c r="I3" i="1" s="1"/>
  <c r="J2" i="1"/>
  <c r="H2" i="1"/>
  <c r="G2" i="1"/>
  <c r="F2" i="1"/>
  <c r="I2" i="1" s="1"/>
  <c r="I41" i="1" l="1"/>
  <c r="I48" i="1"/>
  <c r="I62" i="1"/>
  <c r="I20" i="1"/>
  <c r="I40" i="1"/>
  <c r="I63" i="1"/>
  <c r="I6" i="1"/>
  <c r="I37" i="1"/>
  <c r="I55" i="1"/>
  <c r="I11" i="1"/>
  <c r="I21" i="1"/>
  <c r="I47" i="1"/>
  <c r="I60" i="1"/>
</calcChain>
</file>

<file path=xl/sharedStrings.xml><?xml version="1.0" encoding="utf-8"?>
<sst xmlns="http://schemas.openxmlformats.org/spreadsheetml/2006/main" count="140" uniqueCount="81">
  <si>
    <t>Player Name</t>
  </si>
  <si>
    <t>Position</t>
  </si>
  <si>
    <t>Match Count</t>
  </si>
  <si>
    <t>Goals</t>
  </si>
  <si>
    <t>Asisists</t>
  </si>
  <si>
    <t>Goal Per Match</t>
  </si>
  <si>
    <t>Assists Per Match</t>
  </si>
  <si>
    <t>Confidence</t>
  </si>
  <si>
    <t>Goal Contribution PM</t>
  </si>
  <si>
    <t>Goal Contribution</t>
  </si>
  <si>
    <t>Aaron Wan Bisakka</t>
  </si>
  <si>
    <t>DEF</t>
  </si>
  <si>
    <t>Abdulelah Al Amri</t>
  </si>
  <si>
    <t>Adrien Rabiot</t>
  </si>
  <si>
    <t>CM</t>
  </si>
  <si>
    <t>Amad Diallo</t>
  </si>
  <si>
    <t>AMF</t>
  </si>
  <si>
    <t>Andriy Shevchenko</t>
  </si>
  <si>
    <t>ST</t>
  </si>
  <si>
    <t>Arda Güler</t>
  </si>
  <si>
    <t>Aurelien Tchoumeni</t>
  </si>
  <si>
    <t>CDM</t>
  </si>
  <si>
    <t>Burak Yılmaz</t>
  </si>
  <si>
    <t>Cristian Romero</t>
  </si>
  <si>
    <t>Cristiano Ronaldo</t>
  </si>
  <si>
    <t>Daniele De Rossi</t>
  </si>
  <si>
    <t>David Beckham</t>
  </si>
  <si>
    <t>David Villa</t>
  </si>
  <si>
    <t>Denzel Dumfries</t>
  </si>
  <si>
    <t>Didier Drogba</t>
  </si>
  <si>
    <t>Dominik Szoboszlai</t>
  </si>
  <si>
    <t>Eduardo Camavinga</t>
  </si>
  <si>
    <t>Enzo Fernandez</t>
  </si>
  <si>
    <t>Eric Cantona</t>
  </si>
  <si>
    <t>Erling Haland</t>
  </si>
  <si>
    <t>Ferdi Kadıoğlu</t>
  </si>
  <si>
    <t>Gabriel Batistuta</t>
  </si>
  <si>
    <t>İlhan Mansız</t>
  </si>
  <si>
    <t>Illia Zabarny</t>
  </si>
  <si>
    <t>Jayden Oosterwolde</t>
  </si>
  <si>
    <t>Johan Cryuff</t>
  </si>
  <si>
    <t>WNG</t>
  </si>
  <si>
    <t>Jonathan David</t>
  </si>
  <si>
    <t>Jude Bellingham</t>
  </si>
  <si>
    <t>Kaan Ayhan</t>
  </si>
  <si>
    <t>Kaka</t>
  </si>
  <si>
    <t>Kenan Yıldız</t>
  </si>
  <si>
    <t>Kyliane Mbappe</t>
  </si>
  <si>
    <t>Laminie Yamal</t>
  </si>
  <si>
    <t>Lionel Messi</t>
  </si>
  <si>
    <t>Manu Kone</t>
  </si>
  <si>
    <t>Marc Guehi</t>
  </si>
  <si>
    <t>Marquinhos</t>
  </si>
  <si>
    <t>Martin Odegaard</t>
  </si>
  <si>
    <t>Mateo Kovacic</t>
  </si>
  <si>
    <t>Mattéo Guendouzi</t>
  </si>
  <si>
    <t xml:space="preserve">Mikaël Silvestre </t>
  </si>
  <si>
    <t>N'golo Kante</t>
  </si>
  <si>
    <t>Neymar Jr.</t>
  </si>
  <si>
    <t>Nico Schlotterbeck</t>
  </si>
  <si>
    <t>Nihat Kahveci</t>
  </si>
  <si>
    <t>Nuno Mendes</t>
  </si>
  <si>
    <t>Ousmane Dembélé</t>
  </si>
  <si>
    <t>Paolo Maldini</t>
  </si>
  <si>
    <t>Raphinha</t>
  </si>
  <si>
    <t>Roberto Baggio</t>
  </si>
  <si>
    <t>Romario</t>
  </si>
  <si>
    <t>Ronaldinho Gaúcho</t>
  </si>
  <si>
    <t>Steven Gerrard</t>
  </si>
  <si>
    <t>Taric Muharemovic</t>
  </si>
  <si>
    <t>Trent Alexander-Arnold</t>
  </si>
  <si>
    <t>Vaclav Cerny</t>
  </si>
  <si>
    <t>Virgil Van Dijk</t>
  </si>
  <si>
    <t>Vitinha</t>
  </si>
  <si>
    <t>Wiilan Pacho</t>
  </si>
  <si>
    <t>Zeno Debast</t>
  </si>
  <si>
    <t>Nico Williams</t>
  </si>
  <si>
    <t>Paul Pogba</t>
  </si>
  <si>
    <t>Paul Scholes</t>
  </si>
  <si>
    <t>Manuel Akanji</t>
  </si>
  <si>
    <t>Nico Elvedi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</si>
</sst>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ootball%20Game%20Archive\Efootball%20Archive.xlsx" TargetMode="External"/><Relationship Id="rId1" Type="http://schemas.openxmlformats.org/officeDocument/2006/relationships/externalLinkPath" Target="Efootball%20Arch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ophy Room"/>
      <sheetName val="CC Squad"/>
      <sheetName val="Leauge Stats"/>
      <sheetName val="Parameters"/>
    </sheetNames>
    <sheetDataSet>
      <sheetData sheetId="0">
        <row r="3">
          <cell r="P3">
            <v>260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F726-0F4C-4420-A8A7-CB3FE80D2398}" name="Table2" displayName="Table2" ref="A1:J66" totalsRowShown="0" headerRowDxfId="12" dataDxfId="11" tableBorderDxfId="10">
  <autoFilter ref="A1:J66" xr:uid="{C394F726-0F4C-4420-A8A7-CB3FE80D2398}"/>
  <sortState xmlns:xlrd2="http://schemas.microsoft.com/office/spreadsheetml/2017/richdata2" ref="A2:J61">
    <sortCondition ref="A1:A61"/>
  </sortState>
  <tableColumns count="10">
    <tableColumn id="1" xr3:uid="{7D35AB58-B95A-4D54-8BFC-2BFA0D495784}" name="Player Name" dataDxfId="9"/>
    <tableColumn id="2" xr3:uid="{EC0A0156-EF5C-4064-9C0F-60D76656480A}" name="Position" dataDxfId="8"/>
    <tableColumn id="3" xr3:uid="{3019191E-7279-41E7-8ACB-BD7489562C09}" name="Match Count" dataDxfId="7"/>
    <tableColumn id="4" xr3:uid="{02E42E5F-8834-4B66-A469-557B6809F54B}" name="Goals" dataDxfId="6"/>
    <tableColumn id="5" xr3:uid="{9374C4CF-068C-4DAB-927E-106AB5923791}" name="Asisists" dataDxfId="5"/>
    <tableColumn id="6" xr3:uid="{8CAED505-700C-4D52-B740-1BA4FE684142}" name="Goal Per Match" dataDxfId="4">
      <calculatedColumnFormula>D2/C2</calculatedColumnFormula>
    </tableColumn>
    <tableColumn id="7" xr3:uid="{5D135C51-5F28-47EC-9FA9-F7093872EBBF}" name="Assists Per Match" dataDxfId="3">
      <calculatedColumnFormula>E2/C2</calculatedColumnFormula>
    </tableColumn>
    <tableColumn id="8" xr3:uid="{A4E3841E-1DE3-48FC-9493-36134A51B7DF}" name="Confidence" dataDxfId="2">
      <calculatedColumnFormula>SQRT(C2/'[1]Trophy Room'!$P$3)</calculatedColumnFormula>
    </tableColumn>
    <tableColumn id="9" xr3:uid="{C0364983-4BD0-4975-988B-1EAED45F60A0}" name="Goal Contribution PM" dataDxfId="1">
      <calculatedColumnFormula>F2+G2</calculatedColumnFormula>
    </tableColumn>
    <tableColumn id="10" xr3:uid="{877E759A-395D-4C48-88CA-105ECD214708}" name="Goal Contribution" dataDxfId="0">
      <calculatedColumnFormula>D2+E2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N8" sqref="N8"/>
    </sheetView>
  </sheetViews>
  <sheetFormatPr defaultColWidth="8.77734375" defaultRowHeight="14.4" x14ac:dyDescent="0.3"/>
  <cols>
    <col min="1" max="1" width="24" customWidth="1"/>
    <col min="2" max="2" width="18.109375" customWidth="1"/>
    <col min="3" max="3" width="16" bestFit="1" customWidth="1"/>
    <col min="4" max="4" width="9.44140625" customWidth="1"/>
    <col min="6" max="8" width="16.109375" customWidth="1"/>
    <col min="9" max="9" width="18.77734375" customWidth="1"/>
    <col min="10" max="10" width="20.44140625" customWidth="1"/>
    <col min="11" max="11" width="11.33203125" bestFit="1" customWidth="1"/>
    <col min="12" max="12" width="11.109375" bestFit="1" customWidth="1"/>
    <col min="13" max="13" width="11.33203125" bestFit="1" customWidth="1"/>
    <col min="14" max="14" width="12.77734375" customWidth="1"/>
    <col min="15" max="15" width="10.109375" bestFit="1" customWidth="1"/>
    <col min="16" max="16" width="18.109375" customWidth="1"/>
  </cols>
  <sheetData>
    <row r="1" spans="1:10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30" customHeight="1" x14ac:dyDescent="0.3">
      <c r="A2" s="4" t="s">
        <v>10</v>
      </c>
      <c r="B2" s="5" t="s">
        <v>11</v>
      </c>
      <c r="C2" s="6">
        <v>27</v>
      </c>
      <c r="D2" s="6">
        <v>1</v>
      </c>
      <c r="E2" s="6">
        <v>1</v>
      </c>
      <c r="F2" s="7">
        <f t="shared" ref="F2:F61" si="0">D2/C2</f>
        <v>3.7037037037037035E-2</v>
      </c>
      <c r="G2" s="7">
        <f t="shared" ref="G2:G61" si="1">E2/C2</f>
        <v>3.7037037037037035E-2</v>
      </c>
      <c r="H2" s="7">
        <f>SQRT(C2/'[1]Trophy Room'!$P$3)</f>
        <v>0.32225169331774478</v>
      </c>
      <c r="I2" s="7">
        <f t="shared" ref="I2:I61" si="2">F2+G2</f>
        <v>7.407407407407407E-2</v>
      </c>
      <c r="J2" s="8">
        <f t="shared" ref="J2:J61" si="3">D2+E2</f>
        <v>2</v>
      </c>
    </row>
    <row r="3" spans="1:10" ht="30" customHeight="1" x14ac:dyDescent="0.3">
      <c r="A3" s="4" t="s">
        <v>12</v>
      </c>
      <c r="B3" s="5" t="s">
        <v>11</v>
      </c>
      <c r="C3" s="6">
        <v>42</v>
      </c>
      <c r="D3" s="6">
        <v>0</v>
      </c>
      <c r="E3" s="6">
        <v>0</v>
      </c>
      <c r="F3" s="7">
        <f t="shared" si="0"/>
        <v>0</v>
      </c>
      <c r="G3" s="7">
        <f t="shared" si="1"/>
        <v>0</v>
      </c>
      <c r="H3" s="7">
        <f>SQRT(C3/'[1]Trophy Room'!$P$3)</f>
        <v>0.4019184762342502</v>
      </c>
      <c r="I3" s="7">
        <f t="shared" si="2"/>
        <v>0</v>
      </c>
      <c r="J3" s="8">
        <f t="shared" si="3"/>
        <v>0</v>
      </c>
    </row>
    <row r="4" spans="1:10" ht="30" customHeight="1" x14ac:dyDescent="0.3">
      <c r="A4" s="4" t="s">
        <v>13</v>
      </c>
      <c r="B4" s="9" t="s">
        <v>14</v>
      </c>
      <c r="C4" s="6">
        <v>79</v>
      </c>
      <c r="D4" s="6">
        <v>8</v>
      </c>
      <c r="E4" s="10">
        <v>13</v>
      </c>
      <c r="F4" s="7">
        <f t="shared" si="0"/>
        <v>0.10126582278481013</v>
      </c>
      <c r="G4" s="7">
        <f t="shared" si="1"/>
        <v>0.16455696202531644</v>
      </c>
      <c r="H4" s="7">
        <f>SQRT(C4/'[1]Trophy Room'!$P$3)</f>
        <v>0.55122241776451164</v>
      </c>
      <c r="I4" s="7">
        <f t="shared" si="2"/>
        <v>0.26582278481012656</v>
      </c>
      <c r="J4" s="8">
        <f t="shared" si="3"/>
        <v>21</v>
      </c>
    </row>
    <row r="5" spans="1:10" ht="30" customHeight="1" x14ac:dyDescent="0.3">
      <c r="A5" s="4" t="s">
        <v>15</v>
      </c>
      <c r="B5" s="11" t="s">
        <v>16</v>
      </c>
      <c r="C5" s="6">
        <v>39</v>
      </c>
      <c r="D5" s="6">
        <v>10</v>
      </c>
      <c r="E5" s="6">
        <v>9</v>
      </c>
      <c r="F5" s="7">
        <f t="shared" si="0"/>
        <v>0.25641025641025639</v>
      </c>
      <c r="G5" s="7">
        <f t="shared" si="1"/>
        <v>0.23076923076923078</v>
      </c>
      <c r="H5" s="7">
        <f>SQRT(C5/'[1]Trophy Room'!$P$3)</f>
        <v>0.3872983346207417</v>
      </c>
      <c r="I5" s="7">
        <f t="shared" si="2"/>
        <v>0.48717948717948717</v>
      </c>
      <c r="J5" s="8">
        <f t="shared" si="3"/>
        <v>19</v>
      </c>
    </row>
    <row r="6" spans="1:10" ht="30" customHeight="1" x14ac:dyDescent="0.3">
      <c r="A6" s="4" t="s">
        <v>17</v>
      </c>
      <c r="B6" s="12" t="s">
        <v>18</v>
      </c>
      <c r="C6" s="6">
        <v>64</v>
      </c>
      <c r="D6" s="6">
        <v>22</v>
      </c>
      <c r="E6" s="6">
        <v>17</v>
      </c>
      <c r="F6" s="7">
        <f t="shared" si="0"/>
        <v>0.34375</v>
      </c>
      <c r="G6" s="7">
        <f t="shared" si="1"/>
        <v>0.265625</v>
      </c>
      <c r="H6" s="7">
        <f>SQRT(C6/'[1]Trophy Room'!$P$3)</f>
        <v>0.49613893835683381</v>
      </c>
      <c r="I6" s="7">
        <f t="shared" si="2"/>
        <v>0.609375</v>
      </c>
      <c r="J6" s="8">
        <f t="shared" si="3"/>
        <v>39</v>
      </c>
    </row>
    <row r="7" spans="1:10" ht="30" customHeight="1" x14ac:dyDescent="0.3">
      <c r="A7" s="4" t="s">
        <v>19</v>
      </c>
      <c r="B7" s="11" t="s">
        <v>16</v>
      </c>
      <c r="C7" s="6">
        <v>260</v>
      </c>
      <c r="D7" s="6">
        <v>121</v>
      </c>
      <c r="E7" s="6">
        <v>104</v>
      </c>
      <c r="F7" s="7">
        <f t="shared" si="0"/>
        <v>0.4653846153846154</v>
      </c>
      <c r="G7" s="7">
        <f t="shared" si="1"/>
        <v>0.4</v>
      </c>
      <c r="H7" s="7">
        <f>SQRT(C7/'[1]Trophy Room'!$P$3)</f>
        <v>1</v>
      </c>
      <c r="I7" s="7">
        <f t="shared" si="2"/>
        <v>0.86538461538461542</v>
      </c>
      <c r="J7" s="8">
        <f t="shared" si="3"/>
        <v>225</v>
      </c>
    </row>
    <row r="8" spans="1:10" ht="30" customHeight="1" x14ac:dyDescent="0.3">
      <c r="A8" s="4" t="s">
        <v>20</v>
      </c>
      <c r="B8" s="13" t="s">
        <v>21</v>
      </c>
      <c r="C8" s="6">
        <v>26</v>
      </c>
      <c r="D8" s="6">
        <v>1</v>
      </c>
      <c r="E8" s="6">
        <v>1</v>
      </c>
      <c r="F8" s="7">
        <f t="shared" si="0"/>
        <v>3.8461538461538464E-2</v>
      </c>
      <c r="G8" s="7">
        <f t="shared" si="1"/>
        <v>3.8461538461538464E-2</v>
      </c>
      <c r="H8" s="7">
        <f>SQRT(C8/'[1]Trophy Room'!$P$3)</f>
        <v>0.31622776601683794</v>
      </c>
      <c r="I8" s="7">
        <f t="shared" si="2"/>
        <v>7.6923076923076927E-2</v>
      </c>
      <c r="J8" s="8">
        <f t="shared" si="3"/>
        <v>2</v>
      </c>
    </row>
    <row r="9" spans="1:10" ht="30" customHeight="1" x14ac:dyDescent="0.3">
      <c r="A9" s="4" t="s">
        <v>22</v>
      </c>
      <c r="B9" s="12" t="s">
        <v>18</v>
      </c>
      <c r="C9" s="6">
        <v>208</v>
      </c>
      <c r="D9" s="6">
        <v>139</v>
      </c>
      <c r="E9" s="6">
        <v>91</v>
      </c>
      <c r="F9" s="7">
        <f t="shared" si="0"/>
        <v>0.66826923076923073</v>
      </c>
      <c r="G9" s="7">
        <f t="shared" si="1"/>
        <v>0.4375</v>
      </c>
      <c r="H9" s="7">
        <f>SQRT(C9/'[1]Trophy Room'!$P$3)</f>
        <v>0.89442719099991586</v>
      </c>
      <c r="I9" s="7">
        <f t="shared" si="2"/>
        <v>1.1057692307692308</v>
      </c>
      <c r="J9" s="8">
        <f t="shared" si="3"/>
        <v>230</v>
      </c>
    </row>
    <row r="10" spans="1:10" ht="30" customHeight="1" x14ac:dyDescent="0.3">
      <c r="A10" s="4" t="s">
        <v>23</v>
      </c>
      <c r="B10" s="11" t="s">
        <v>11</v>
      </c>
      <c r="C10" s="6">
        <v>4</v>
      </c>
      <c r="D10" s="6">
        <v>0</v>
      </c>
      <c r="E10" s="6">
        <v>0</v>
      </c>
      <c r="F10" s="7">
        <f t="shared" si="0"/>
        <v>0</v>
      </c>
      <c r="G10" s="7">
        <f t="shared" si="1"/>
        <v>0</v>
      </c>
      <c r="H10" s="7">
        <f>SQRT(C10/'[1]Trophy Room'!$P$3)</f>
        <v>0.12403473458920845</v>
      </c>
      <c r="I10" s="7">
        <f t="shared" si="2"/>
        <v>0</v>
      </c>
      <c r="J10" s="8">
        <f t="shared" si="3"/>
        <v>0</v>
      </c>
    </row>
    <row r="11" spans="1:10" ht="30" customHeight="1" x14ac:dyDescent="0.3">
      <c r="A11" s="4" t="s">
        <v>24</v>
      </c>
      <c r="B11" s="12" t="s">
        <v>18</v>
      </c>
      <c r="C11" s="6">
        <v>91</v>
      </c>
      <c r="D11" s="6">
        <v>76</v>
      </c>
      <c r="E11" s="6">
        <v>39</v>
      </c>
      <c r="F11" s="7">
        <f t="shared" si="0"/>
        <v>0.8351648351648352</v>
      </c>
      <c r="G11" s="7">
        <f t="shared" si="1"/>
        <v>0.42857142857142855</v>
      </c>
      <c r="H11" s="7">
        <f>SQRT(C11/'[1]Trophy Room'!$P$3)</f>
        <v>0.59160797830996159</v>
      </c>
      <c r="I11" s="7">
        <f t="shared" si="2"/>
        <v>1.2637362637362637</v>
      </c>
      <c r="J11" s="8">
        <f t="shared" si="3"/>
        <v>115</v>
      </c>
    </row>
    <row r="12" spans="1:10" ht="30" customHeight="1" x14ac:dyDescent="0.3">
      <c r="A12" s="4" t="s">
        <v>25</v>
      </c>
      <c r="B12" s="13" t="s">
        <v>21</v>
      </c>
      <c r="C12" s="6">
        <v>94</v>
      </c>
      <c r="D12" s="6">
        <v>2</v>
      </c>
      <c r="E12" s="6">
        <v>11</v>
      </c>
      <c r="F12" s="7">
        <f t="shared" si="0"/>
        <v>2.1276595744680851E-2</v>
      </c>
      <c r="G12" s="7">
        <f t="shared" si="1"/>
        <v>0.11702127659574468</v>
      </c>
      <c r="H12" s="7">
        <f>SQRT(C12/'[1]Trophy Room'!$P$3)</f>
        <v>0.60128068448808625</v>
      </c>
      <c r="I12" s="7">
        <f t="shared" si="2"/>
        <v>0.13829787234042554</v>
      </c>
      <c r="J12" s="8">
        <f t="shared" si="3"/>
        <v>13</v>
      </c>
    </row>
    <row r="13" spans="1:10" ht="30" customHeight="1" x14ac:dyDescent="0.3">
      <c r="A13" s="4" t="s">
        <v>26</v>
      </c>
      <c r="B13" s="11" t="s">
        <v>16</v>
      </c>
      <c r="C13" s="6">
        <v>112</v>
      </c>
      <c r="D13" s="6">
        <v>22</v>
      </c>
      <c r="E13" s="6">
        <v>17</v>
      </c>
      <c r="F13" s="7">
        <f t="shared" si="0"/>
        <v>0.19642857142857142</v>
      </c>
      <c r="G13" s="7">
        <f t="shared" si="1"/>
        <v>0.15178571428571427</v>
      </c>
      <c r="H13" s="7">
        <f>SQRT(C13/'[1]Trophy Room'!$P$3)</f>
        <v>0.65633012331389362</v>
      </c>
      <c r="I13" s="7">
        <f t="shared" si="2"/>
        <v>0.3482142857142857</v>
      </c>
      <c r="J13" s="8">
        <f t="shared" si="3"/>
        <v>39</v>
      </c>
    </row>
    <row r="14" spans="1:10" ht="30" customHeight="1" x14ac:dyDescent="0.3">
      <c r="A14" s="4" t="s">
        <v>27</v>
      </c>
      <c r="B14" s="12" t="s">
        <v>18</v>
      </c>
      <c r="C14" s="6">
        <v>23</v>
      </c>
      <c r="D14" s="6">
        <v>13</v>
      </c>
      <c r="E14" s="6">
        <v>10</v>
      </c>
      <c r="F14" s="7">
        <f t="shared" si="0"/>
        <v>0.56521739130434778</v>
      </c>
      <c r="G14" s="7">
        <f t="shared" si="1"/>
        <v>0.43478260869565216</v>
      </c>
      <c r="H14" s="7">
        <f>SQRT(C14/'[1]Trophy Room'!$P$3)</f>
        <v>0.29742484506432626</v>
      </c>
      <c r="I14" s="7">
        <f t="shared" si="2"/>
        <v>1</v>
      </c>
      <c r="J14" s="8">
        <f t="shared" si="3"/>
        <v>23</v>
      </c>
    </row>
    <row r="15" spans="1:10" ht="30" customHeight="1" x14ac:dyDescent="0.3">
      <c r="A15" s="4" t="s">
        <v>28</v>
      </c>
      <c r="B15" s="5" t="s">
        <v>11</v>
      </c>
      <c r="C15" s="6">
        <v>55</v>
      </c>
      <c r="D15" s="6">
        <v>0</v>
      </c>
      <c r="E15" s="6">
        <v>8</v>
      </c>
      <c r="F15" s="7">
        <f t="shared" si="0"/>
        <v>0</v>
      </c>
      <c r="G15" s="7">
        <f t="shared" si="1"/>
        <v>0.14545454545454545</v>
      </c>
      <c r="H15" s="7">
        <f>SQRT(C15/'[1]Trophy Room'!$P$3)</f>
        <v>0.45993310550389993</v>
      </c>
      <c r="I15" s="7">
        <f t="shared" si="2"/>
        <v>0.14545454545454545</v>
      </c>
      <c r="J15" s="8">
        <f t="shared" si="3"/>
        <v>8</v>
      </c>
    </row>
    <row r="16" spans="1:10" ht="30" customHeight="1" x14ac:dyDescent="0.3">
      <c r="A16" s="4" t="s">
        <v>29</v>
      </c>
      <c r="B16" s="12" t="s">
        <v>18</v>
      </c>
      <c r="C16" s="6">
        <v>49</v>
      </c>
      <c r="D16" s="6">
        <v>17</v>
      </c>
      <c r="E16" s="6">
        <v>12</v>
      </c>
      <c r="F16" s="7">
        <f t="shared" si="0"/>
        <v>0.34693877551020408</v>
      </c>
      <c r="G16" s="7">
        <f t="shared" si="1"/>
        <v>0.24489795918367346</v>
      </c>
      <c r="H16" s="7">
        <f>SQRT(C16/'[1]Trophy Room'!$P$3)</f>
        <v>0.43412157106222959</v>
      </c>
      <c r="I16" s="7">
        <f t="shared" si="2"/>
        <v>0.59183673469387754</v>
      </c>
      <c r="J16" s="8">
        <f t="shared" si="3"/>
        <v>29</v>
      </c>
    </row>
    <row r="17" spans="1:10" ht="30" customHeight="1" x14ac:dyDescent="0.3">
      <c r="A17" s="4" t="s">
        <v>30</v>
      </c>
      <c r="B17" s="5" t="s">
        <v>11</v>
      </c>
      <c r="C17" s="6">
        <v>122</v>
      </c>
      <c r="D17" s="6">
        <v>2</v>
      </c>
      <c r="E17" s="6">
        <v>10</v>
      </c>
      <c r="F17" s="7">
        <f t="shared" si="0"/>
        <v>1.6393442622950821E-2</v>
      </c>
      <c r="G17" s="7">
        <f t="shared" si="1"/>
        <v>8.1967213114754092E-2</v>
      </c>
      <c r="H17" s="7">
        <f>SQRT(C17/'[1]Trophy Room'!$P$3)</f>
        <v>0.68500421110440568</v>
      </c>
      <c r="I17" s="7">
        <f t="shared" si="2"/>
        <v>9.8360655737704916E-2</v>
      </c>
      <c r="J17" s="8">
        <f t="shared" si="3"/>
        <v>12</v>
      </c>
    </row>
    <row r="18" spans="1:10" ht="30" customHeight="1" x14ac:dyDescent="0.3">
      <c r="A18" s="4" t="s">
        <v>31</v>
      </c>
      <c r="B18" s="13" t="s">
        <v>21</v>
      </c>
      <c r="C18" s="6">
        <v>204</v>
      </c>
      <c r="D18" s="6">
        <v>9</v>
      </c>
      <c r="E18" s="6">
        <v>34</v>
      </c>
      <c r="F18" s="7">
        <f t="shared" si="0"/>
        <v>4.4117647058823532E-2</v>
      </c>
      <c r="G18" s="7">
        <f t="shared" si="1"/>
        <v>0.16666666666666666</v>
      </c>
      <c r="H18" s="7">
        <f>SQRT(C18/'[1]Trophy Room'!$P$3)</f>
        <v>0.88578517972214044</v>
      </c>
      <c r="I18" s="7">
        <f t="shared" si="2"/>
        <v>0.2107843137254902</v>
      </c>
      <c r="J18" s="8">
        <f t="shared" si="3"/>
        <v>43</v>
      </c>
    </row>
    <row r="19" spans="1:10" ht="30" customHeight="1" x14ac:dyDescent="0.3">
      <c r="A19" s="4" t="s">
        <v>32</v>
      </c>
      <c r="B19" s="13" t="s">
        <v>21</v>
      </c>
      <c r="C19" s="6">
        <v>6</v>
      </c>
      <c r="D19" s="6">
        <v>0</v>
      </c>
      <c r="E19" s="6">
        <v>0</v>
      </c>
      <c r="F19" s="7">
        <f t="shared" si="0"/>
        <v>0</v>
      </c>
      <c r="G19" s="7">
        <f t="shared" si="1"/>
        <v>0</v>
      </c>
      <c r="H19" s="7">
        <f>SQRT(C19/'[1]Trophy Room'!$P$3)</f>
        <v>0.15191090506255001</v>
      </c>
      <c r="I19" s="7">
        <f t="shared" si="2"/>
        <v>0</v>
      </c>
      <c r="J19" s="8">
        <f t="shared" si="3"/>
        <v>0</v>
      </c>
    </row>
    <row r="20" spans="1:10" ht="30" customHeight="1" x14ac:dyDescent="0.3">
      <c r="A20" s="4" t="s">
        <v>33</v>
      </c>
      <c r="B20" s="12" t="s">
        <v>18</v>
      </c>
      <c r="C20" s="6">
        <v>96</v>
      </c>
      <c r="D20" s="6">
        <v>48</v>
      </c>
      <c r="E20" s="6">
        <v>44</v>
      </c>
      <c r="F20" s="7">
        <f t="shared" si="0"/>
        <v>0.5</v>
      </c>
      <c r="G20" s="7">
        <f t="shared" si="1"/>
        <v>0.45833333333333331</v>
      </c>
      <c r="H20" s="7">
        <f>SQRT(C20/'[1]Trophy Room'!$P$3)</f>
        <v>0.60764362025020002</v>
      </c>
      <c r="I20" s="7">
        <f t="shared" si="2"/>
        <v>0.95833333333333326</v>
      </c>
      <c r="J20" s="8">
        <f t="shared" si="3"/>
        <v>92</v>
      </c>
    </row>
    <row r="21" spans="1:10" ht="30" customHeight="1" x14ac:dyDescent="0.3">
      <c r="A21" s="4" t="s">
        <v>34</v>
      </c>
      <c r="B21" s="11" t="s">
        <v>18</v>
      </c>
      <c r="C21" s="6">
        <v>42</v>
      </c>
      <c r="D21" s="10">
        <v>43</v>
      </c>
      <c r="E21" s="6">
        <v>16</v>
      </c>
      <c r="F21" s="7">
        <f t="shared" si="0"/>
        <v>1.0238095238095237</v>
      </c>
      <c r="G21" s="7">
        <f t="shared" si="1"/>
        <v>0.38095238095238093</v>
      </c>
      <c r="H21" s="7">
        <f>SQRT(C21/'[1]Trophy Room'!$P$3)</f>
        <v>0.4019184762342502</v>
      </c>
      <c r="I21" s="7">
        <f t="shared" si="2"/>
        <v>1.4047619047619047</v>
      </c>
      <c r="J21" s="8">
        <f t="shared" si="3"/>
        <v>59</v>
      </c>
    </row>
    <row r="22" spans="1:10" ht="30" customHeight="1" x14ac:dyDescent="0.3">
      <c r="A22" s="4" t="s">
        <v>35</v>
      </c>
      <c r="B22" s="5" t="s">
        <v>11</v>
      </c>
      <c r="C22" s="6">
        <v>113</v>
      </c>
      <c r="D22" s="6">
        <v>2</v>
      </c>
      <c r="E22" s="6">
        <v>8</v>
      </c>
      <c r="F22" s="7">
        <f t="shared" si="0"/>
        <v>1.7699115044247787E-2</v>
      </c>
      <c r="G22" s="7">
        <f t="shared" si="1"/>
        <v>7.0796460176991149E-2</v>
      </c>
      <c r="H22" s="7">
        <f>SQRT(C22/'[1]Trophy Room'!$P$3)</f>
        <v>0.65925365726356389</v>
      </c>
      <c r="I22" s="7">
        <f t="shared" si="2"/>
        <v>8.8495575221238937E-2</v>
      </c>
      <c r="J22" s="8">
        <f t="shared" si="3"/>
        <v>10</v>
      </c>
    </row>
    <row r="23" spans="1:10" ht="30" customHeight="1" x14ac:dyDescent="0.3">
      <c r="A23" s="4" t="s">
        <v>36</v>
      </c>
      <c r="B23" s="12" t="s">
        <v>18</v>
      </c>
      <c r="C23" s="6">
        <v>81</v>
      </c>
      <c r="D23" s="6">
        <v>37</v>
      </c>
      <c r="E23" s="6">
        <v>19</v>
      </c>
      <c r="F23" s="7">
        <f t="shared" si="0"/>
        <v>0.4567901234567901</v>
      </c>
      <c r="G23" s="7">
        <f t="shared" si="1"/>
        <v>0.23456790123456789</v>
      </c>
      <c r="H23" s="7">
        <f>SQRT(C23/'[1]Trophy Room'!$P$3)</f>
        <v>0.55815630565143803</v>
      </c>
      <c r="I23" s="7">
        <f t="shared" si="2"/>
        <v>0.69135802469135799</v>
      </c>
      <c r="J23" s="8">
        <f t="shared" si="3"/>
        <v>56</v>
      </c>
    </row>
    <row r="24" spans="1:10" ht="30" customHeight="1" x14ac:dyDescent="0.3">
      <c r="A24" s="4" t="s">
        <v>37</v>
      </c>
      <c r="B24" s="12" t="s">
        <v>18</v>
      </c>
      <c r="C24" s="6">
        <v>63</v>
      </c>
      <c r="D24" s="6">
        <v>23</v>
      </c>
      <c r="E24" s="6">
        <v>11</v>
      </c>
      <c r="F24" s="7">
        <f t="shared" si="0"/>
        <v>0.36507936507936506</v>
      </c>
      <c r="G24" s="7">
        <f t="shared" si="1"/>
        <v>0.17460317460317459</v>
      </c>
      <c r="H24" s="7">
        <f>SQRT(C24/'[1]Trophy Room'!$P$3)</f>
        <v>0.49224759248542022</v>
      </c>
      <c r="I24" s="7">
        <f t="shared" si="2"/>
        <v>0.53968253968253965</v>
      </c>
      <c r="J24" s="8">
        <f t="shared" si="3"/>
        <v>34</v>
      </c>
    </row>
    <row r="25" spans="1:10" ht="30" customHeight="1" x14ac:dyDescent="0.3">
      <c r="A25" s="4" t="s">
        <v>38</v>
      </c>
      <c r="B25" s="5" t="s">
        <v>11</v>
      </c>
      <c r="C25" s="6">
        <v>52</v>
      </c>
      <c r="D25" s="6">
        <v>0</v>
      </c>
      <c r="E25" s="6">
        <v>1</v>
      </c>
      <c r="F25" s="7">
        <f t="shared" si="0"/>
        <v>0</v>
      </c>
      <c r="G25" s="7">
        <f t="shared" si="1"/>
        <v>1.9230769230769232E-2</v>
      </c>
      <c r="H25" s="7">
        <f>SQRT(C25/'[1]Trophy Room'!$P$3)</f>
        <v>0.44721359549995793</v>
      </c>
      <c r="I25" s="7">
        <f t="shared" si="2"/>
        <v>1.9230769230769232E-2</v>
      </c>
      <c r="J25" s="8">
        <f t="shared" si="3"/>
        <v>1</v>
      </c>
    </row>
    <row r="26" spans="1:10" ht="30" customHeight="1" x14ac:dyDescent="0.3">
      <c r="A26" s="4" t="s">
        <v>39</v>
      </c>
      <c r="B26" s="5" t="s">
        <v>11</v>
      </c>
      <c r="C26" s="6">
        <v>67</v>
      </c>
      <c r="D26" s="6">
        <v>2</v>
      </c>
      <c r="E26" s="6">
        <v>3</v>
      </c>
      <c r="F26" s="7">
        <f t="shared" si="0"/>
        <v>2.9850746268656716E-2</v>
      </c>
      <c r="G26" s="7">
        <f t="shared" si="1"/>
        <v>4.4776119402985072E-2</v>
      </c>
      <c r="H26" s="7">
        <f>SQRT(C26/'[1]Trophy Room'!$P$3)</f>
        <v>0.50763402928912049</v>
      </c>
      <c r="I26" s="7">
        <f t="shared" si="2"/>
        <v>7.4626865671641784E-2</v>
      </c>
      <c r="J26" s="8">
        <f t="shared" si="3"/>
        <v>5</v>
      </c>
    </row>
    <row r="27" spans="1:10" ht="30" customHeight="1" x14ac:dyDescent="0.3">
      <c r="A27" s="4" t="s">
        <v>40</v>
      </c>
      <c r="B27" s="14" t="s">
        <v>41</v>
      </c>
      <c r="C27" s="6">
        <v>88</v>
      </c>
      <c r="D27" s="6">
        <v>23</v>
      </c>
      <c r="E27" s="6">
        <v>19</v>
      </c>
      <c r="F27" s="7">
        <f t="shared" si="0"/>
        <v>0.26136363636363635</v>
      </c>
      <c r="G27" s="7">
        <f t="shared" si="1"/>
        <v>0.21590909090909091</v>
      </c>
      <c r="H27" s="7">
        <f>SQRT(C27/'[1]Trophy Room'!$P$3)</f>
        <v>0.58177447388273962</v>
      </c>
      <c r="I27" s="7">
        <f t="shared" si="2"/>
        <v>0.47727272727272729</v>
      </c>
      <c r="J27" s="8">
        <f t="shared" si="3"/>
        <v>42</v>
      </c>
    </row>
    <row r="28" spans="1:10" ht="30" customHeight="1" x14ac:dyDescent="0.3">
      <c r="A28" s="15" t="s">
        <v>42</v>
      </c>
      <c r="B28" s="12" t="s">
        <v>18</v>
      </c>
      <c r="C28" s="6">
        <v>17</v>
      </c>
      <c r="D28" s="6">
        <v>6</v>
      </c>
      <c r="E28" s="6">
        <v>2</v>
      </c>
      <c r="F28" s="7">
        <f t="shared" si="0"/>
        <v>0.35294117647058826</v>
      </c>
      <c r="G28" s="7">
        <f t="shared" si="1"/>
        <v>0.11764705882352941</v>
      </c>
      <c r="H28" s="7">
        <f>SQRT(C28/'[1]Trophy Room'!$P$3)</f>
        <v>0.25570415597837942</v>
      </c>
      <c r="I28" s="7">
        <f t="shared" si="2"/>
        <v>0.47058823529411764</v>
      </c>
      <c r="J28" s="8">
        <f t="shared" si="3"/>
        <v>8</v>
      </c>
    </row>
    <row r="29" spans="1:10" ht="30" customHeight="1" x14ac:dyDescent="0.3">
      <c r="A29" s="15" t="s">
        <v>43</v>
      </c>
      <c r="B29" s="11" t="s">
        <v>14</v>
      </c>
      <c r="C29" s="6">
        <v>36</v>
      </c>
      <c r="D29" s="6">
        <v>3</v>
      </c>
      <c r="E29" s="6">
        <v>5</v>
      </c>
      <c r="F29" s="7">
        <f t="shared" si="0"/>
        <v>8.3333333333333329E-2</v>
      </c>
      <c r="G29" s="7">
        <f t="shared" si="1"/>
        <v>0.1388888888888889</v>
      </c>
      <c r="H29" s="7">
        <f>SQRT(C29/'[1]Trophy Room'!$P$3)</f>
        <v>0.37210420376762537</v>
      </c>
      <c r="I29" s="7">
        <f t="shared" si="2"/>
        <v>0.22222222222222221</v>
      </c>
      <c r="J29" s="8">
        <f t="shared" si="3"/>
        <v>8</v>
      </c>
    </row>
    <row r="30" spans="1:10" ht="30" customHeight="1" x14ac:dyDescent="0.3">
      <c r="A30" s="15" t="s">
        <v>44</v>
      </c>
      <c r="B30" s="11" t="s">
        <v>11</v>
      </c>
      <c r="C30" s="6">
        <v>9</v>
      </c>
      <c r="D30" s="6">
        <v>0</v>
      </c>
      <c r="E30" s="6">
        <v>0</v>
      </c>
      <c r="F30" s="7">
        <f t="shared" si="0"/>
        <v>0</v>
      </c>
      <c r="G30" s="7">
        <f t="shared" si="1"/>
        <v>0</v>
      </c>
      <c r="H30" s="7">
        <f>SQRT(C30/'[1]Trophy Room'!$P$3)</f>
        <v>0.18605210188381269</v>
      </c>
      <c r="I30" s="7">
        <f t="shared" si="2"/>
        <v>0</v>
      </c>
      <c r="J30" s="8">
        <f t="shared" si="3"/>
        <v>0</v>
      </c>
    </row>
    <row r="31" spans="1:10" ht="30" customHeight="1" x14ac:dyDescent="0.3">
      <c r="A31" s="4" t="s">
        <v>45</v>
      </c>
      <c r="B31" s="11" t="s">
        <v>16</v>
      </c>
      <c r="C31" s="6">
        <v>85</v>
      </c>
      <c r="D31" s="6">
        <v>11</v>
      </c>
      <c r="E31" s="6">
        <v>11</v>
      </c>
      <c r="F31" s="7">
        <f t="shared" si="0"/>
        <v>0.12941176470588237</v>
      </c>
      <c r="G31" s="7">
        <f t="shared" si="1"/>
        <v>0.12941176470588237</v>
      </c>
      <c r="H31" s="7">
        <f>SQRT(C31/'[1]Trophy Room'!$P$3)</f>
        <v>0.57177187489686565</v>
      </c>
      <c r="I31" s="7">
        <f t="shared" si="2"/>
        <v>0.25882352941176473</v>
      </c>
      <c r="J31" s="8">
        <f t="shared" si="3"/>
        <v>22</v>
      </c>
    </row>
    <row r="32" spans="1:10" ht="30" customHeight="1" x14ac:dyDescent="0.3">
      <c r="A32" s="15" t="s">
        <v>46</v>
      </c>
      <c r="B32" s="9" t="s">
        <v>14</v>
      </c>
      <c r="C32" s="6">
        <v>81</v>
      </c>
      <c r="D32" s="6">
        <v>15</v>
      </c>
      <c r="E32" s="6">
        <v>13</v>
      </c>
      <c r="F32" s="7">
        <f t="shared" si="0"/>
        <v>0.18518518518518517</v>
      </c>
      <c r="G32" s="7">
        <f t="shared" si="1"/>
        <v>0.16049382716049382</v>
      </c>
      <c r="H32" s="7">
        <f>SQRT(C32/'[1]Trophy Room'!$P$3)</f>
        <v>0.55815630565143803</v>
      </c>
      <c r="I32" s="7">
        <f t="shared" si="2"/>
        <v>0.34567901234567899</v>
      </c>
      <c r="J32" s="8">
        <f t="shared" si="3"/>
        <v>28</v>
      </c>
    </row>
    <row r="33" spans="1:10" ht="30" customHeight="1" x14ac:dyDescent="0.3">
      <c r="A33" s="15" t="s">
        <v>47</v>
      </c>
      <c r="B33" s="14" t="s">
        <v>41</v>
      </c>
      <c r="C33" s="6">
        <v>235</v>
      </c>
      <c r="D33" s="6">
        <v>124</v>
      </c>
      <c r="E33" s="6">
        <v>45</v>
      </c>
      <c r="F33" s="7">
        <f t="shared" si="0"/>
        <v>0.52765957446808509</v>
      </c>
      <c r="G33" s="7">
        <f t="shared" si="1"/>
        <v>0.19148936170212766</v>
      </c>
      <c r="H33" s="7">
        <f>SQRT(C33/'[1]Trophy Room'!$P$3)</f>
        <v>0.95070823802371351</v>
      </c>
      <c r="I33" s="7">
        <f t="shared" si="2"/>
        <v>0.7191489361702128</v>
      </c>
      <c r="J33" s="8">
        <f t="shared" si="3"/>
        <v>169</v>
      </c>
    </row>
    <row r="34" spans="1:10" ht="30" customHeight="1" x14ac:dyDescent="0.3">
      <c r="A34" s="4" t="s">
        <v>48</v>
      </c>
      <c r="B34" s="14" t="s">
        <v>41</v>
      </c>
      <c r="C34" s="6">
        <v>134</v>
      </c>
      <c r="D34" s="6">
        <v>61</v>
      </c>
      <c r="E34" s="6">
        <v>27</v>
      </c>
      <c r="F34" s="7">
        <f t="shared" si="0"/>
        <v>0.45522388059701491</v>
      </c>
      <c r="G34" s="7">
        <f t="shared" si="1"/>
        <v>0.20149253731343283</v>
      </c>
      <c r="H34" s="7">
        <f>SQRT(C34/'[1]Trophy Room'!$P$3)</f>
        <v>0.71790292894277519</v>
      </c>
      <c r="I34" s="7">
        <f t="shared" si="2"/>
        <v>0.65671641791044777</v>
      </c>
      <c r="J34" s="8">
        <f t="shared" si="3"/>
        <v>88</v>
      </c>
    </row>
    <row r="35" spans="1:10" ht="30" customHeight="1" x14ac:dyDescent="0.3">
      <c r="A35" s="4" t="s">
        <v>49</v>
      </c>
      <c r="B35" s="14" t="s">
        <v>41</v>
      </c>
      <c r="C35" s="6">
        <v>212</v>
      </c>
      <c r="D35" s="6">
        <v>108</v>
      </c>
      <c r="E35" s="6">
        <v>52</v>
      </c>
      <c r="F35" s="7">
        <f t="shared" si="0"/>
        <v>0.50943396226415094</v>
      </c>
      <c r="G35" s="7">
        <f t="shared" si="1"/>
        <v>0.24528301886792453</v>
      </c>
      <c r="H35" s="7">
        <f>SQRT(C35/'[1]Trophy Room'!$P$3)</f>
        <v>0.90298649789718088</v>
      </c>
      <c r="I35" s="7">
        <f t="shared" si="2"/>
        <v>0.75471698113207553</v>
      </c>
      <c r="J35" s="8">
        <f t="shared" si="3"/>
        <v>160</v>
      </c>
    </row>
    <row r="36" spans="1:10" ht="30" customHeight="1" x14ac:dyDescent="0.3">
      <c r="A36" s="15" t="s">
        <v>50</v>
      </c>
      <c r="B36" s="9" t="s">
        <v>14</v>
      </c>
      <c r="C36" s="6">
        <v>55</v>
      </c>
      <c r="D36" s="6">
        <v>5</v>
      </c>
      <c r="E36" s="6">
        <v>9</v>
      </c>
      <c r="F36" s="7">
        <f t="shared" si="0"/>
        <v>9.0909090909090912E-2</v>
      </c>
      <c r="G36" s="7">
        <f t="shared" si="1"/>
        <v>0.16363636363636364</v>
      </c>
      <c r="H36" s="7">
        <f>SQRT(C36/'[1]Trophy Room'!$P$3)</f>
        <v>0.45993310550389993</v>
      </c>
      <c r="I36" s="7">
        <f t="shared" si="2"/>
        <v>0.25454545454545452</v>
      </c>
      <c r="J36" s="8">
        <f t="shared" si="3"/>
        <v>14</v>
      </c>
    </row>
    <row r="37" spans="1:10" ht="30" customHeight="1" x14ac:dyDescent="0.3">
      <c r="A37" s="4" t="s">
        <v>51</v>
      </c>
      <c r="B37" s="5" t="s">
        <v>11</v>
      </c>
      <c r="C37" s="6">
        <v>36</v>
      </c>
      <c r="D37" s="6">
        <v>0</v>
      </c>
      <c r="E37" s="6">
        <v>0</v>
      </c>
      <c r="F37" s="7">
        <f t="shared" si="0"/>
        <v>0</v>
      </c>
      <c r="G37" s="7">
        <f t="shared" si="1"/>
        <v>0</v>
      </c>
      <c r="H37" s="7">
        <f>SQRT(C37/'[1]Trophy Room'!$P$3)</f>
        <v>0.37210420376762537</v>
      </c>
      <c r="I37" s="7">
        <f t="shared" si="2"/>
        <v>0</v>
      </c>
      <c r="J37" s="8">
        <f t="shared" si="3"/>
        <v>0</v>
      </c>
    </row>
    <row r="38" spans="1:10" ht="30" customHeight="1" x14ac:dyDescent="0.3">
      <c r="A38" s="15" t="s">
        <v>52</v>
      </c>
      <c r="B38" s="5" t="s">
        <v>11</v>
      </c>
      <c r="C38" s="6">
        <v>200</v>
      </c>
      <c r="D38" s="6">
        <v>1</v>
      </c>
      <c r="E38" s="6">
        <v>1</v>
      </c>
      <c r="F38" s="7">
        <f t="shared" si="0"/>
        <v>5.0000000000000001E-3</v>
      </c>
      <c r="G38" s="7">
        <f t="shared" si="1"/>
        <v>5.0000000000000001E-3</v>
      </c>
      <c r="H38" s="7">
        <f>SQRT(C38/'[1]Trophy Room'!$P$3)</f>
        <v>0.8770580193070292</v>
      </c>
      <c r="I38" s="7">
        <f t="shared" si="2"/>
        <v>0.01</v>
      </c>
      <c r="J38" s="8">
        <f t="shared" si="3"/>
        <v>2</v>
      </c>
    </row>
    <row r="39" spans="1:10" ht="30" customHeight="1" x14ac:dyDescent="0.3">
      <c r="A39" s="4" t="s">
        <v>53</v>
      </c>
      <c r="B39" s="11" t="s">
        <v>16</v>
      </c>
      <c r="C39" s="6">
        <v>75</v>
      </c>
      <c r="D39" s="6">
        <v>14</v>
      </c>
      <c r="E39" s="6">
        <v>16</v>
      </c>
      <c r="F39" s="7">
        <f t="shared" si="0"/>
        <v>0.18666666666666668</v>
      </c>
      <c r="G39" s="7">
        <f t="shared" si="1"/>
        <v>0.21333333333333335</v>
      </c>
      <c r="H39" s="7">
        <f>SQRT(C39/'[1]Trophy Room'!$P$3)</f>
        <v>0.53708615552957462</v>
      </c>
      <c r="I39" s="7">
        <f t="shared" si="2"/>
        <v>0.4</v>
      </c>
      <c r="J39" s="8">
        <f t="shared" si="3"/>
        <v>30</v>
      </c>
    </row>
    <row r="40" spans="1:10" ht="30" customHeight="1" x14ac:dyDescent="0.3">
      <c r="A40" s="15" t="s">
        <v>54</v>
      </c>
      <c r="B40" s="9" t="s">
        <v>14</v>
      </c>
      <c r="C40" s="6">
        <v>29</v>
      </c>
      <c r="D40" s="6">
        <v>2</v>
      </c>
      <c r="E40" s="6">
        <v>8</v>
      </c>
      <c r="F40" s="7">
        <f t="shared" si="0"/>
        <v>6.8965517241379309E-2</v>
      </c>
      <c r="G40" s="7">
        <f t="shared" si="1"/>
        <v>0.27586206896551724</v>
      </c>
      <c r="H40" s="7">
        <f>SQRT(C40/'[1]Trophy Room'!$P$3)</f>
        <v>0.33397374378603706</v>
      </c>
      <c r="I40" s="7">
        <f t="shared" si="2"/>
        <v>0.34482758620689657</v>
      </c>
      <c r="J40" s="8">
        <f t="shared" si="3"/>
        <v>10</v>
      </c>
    </row>
    <row r="41" spans="1:10" ht="30" customHeight="1" x14ac:dyDescent="0.3">
      <c r="A41" s="15" t="s">
        <v>55</v>
      </c>
      <c r="B41" s="13" t="s">
        <v>21</v>
      </c>
      <c r="C41" s="6">
        <v>217</v>
      </c>
      <c r="D41" s="6">
        <v>14</v>
      </c>
      <c r="E41" s="6">
        <v>28</v>
      </c>
      <c r="F41" s="7">
        <f t="shared" si="0"/>
        <v>6.4516129032258063E-2</v>
      </c>
      <c r="G41" s="7">
        <f t="shared" si="1"/>
        <v>0.12903225806451613</v>
      </c>
      <c r="H41" s="7">
        <f>SQRT(C41/'[1]Trophy Room'!$P$3)</f>
        <v>0.91357286770973267</v>
      </c>
      <c r="I41" s="7">
        <f t="shared" si="2"/>
        <v>0.19354838709677419</v>
      </c>
      <c r="J41" s="8">
        <f t="shared" si="3"/>
        <v>42</v>
      </c>
    </row>
    <row r="42" spans="1:10" ht="30" customHeight="1" x14ac:dyDescent="0.3">
      <c r="A42" s="4" t="s">
        <v>56</v>
      </c>
      <c r="B42" s="5" t="s">
        <v>11</v>
      </c>
      <c r="C42" s="6">
        <v>178</v>
      </c>
      <c r="D42" s="6">
        <v>0</v>
      </c>
      <c r="E42" s="6">
        <v>8</v>
      </c>
      <c r="F42" s="7">
        <f t="shared" si="0"/>
        <v>0</v>
      </c>
      <c r="G42" s="7">
        <f t="shared" si="1"/>
        <v>4.49438202247191E-2</v>
      </c>
      <c r="H42" s="7">
        <f>SQRT(C42/'[1]Trophy Room'!$P$3)</f>
        <v>0.82741488058614499</v>
      </c>
      <c r="I42" s="7">
        <f t="shared" si="2"/>
        <v>4.49438202247191E-2</v>
      </c>
      <c r="J42" s="8">
        <f t="shared" si="3"/>
        <v>8</v>
      </c>
    </row>
    <row r="43" spans="1:10" ht="30" customHeight="1" x14ac:dyDescent="0.3">
      <c r="A43" s="4" t="s">
        <v>57</v>
      </c>
      <c r="B43" s="13" t="s">
        <v>21</v>
      </c>
      <c r="C43" s="6">
        <v>135</v>
      </c>
      <c r="D43" s="6">
        <v>2</v>
      </c>
      <c r="E43" s="6">
        <v>14</v>
      </c>
      <c r="F43" s="7">
        <f t="shared" si="0"/>
        <v>1.4814814814814815E-2</v>
      </c>
      <c r="G43" s="7">
        <f t="shared" si="1"/>
        <v>0.1037037037037037</v>
      </c>
      <c r="H43" s="7">
        <f>SQRT(C43/'[1]Trophy Room'!$P$3)</f>
        <v>0.7205766921228921</v>
      </c>
      <c r="I43" s="7">
        <f t="shared" si="2"/>
        <v>0.11851851851851852</v>
      </c>
      <c r="J43" s="8">
        <f t="shared" si="3"/>
        <v>16</v>
      </c>
    </row>
    <row r="44" spans="1:10" ht="30" customHeight="1" x14ac:dyDescent="0.3">
      <c r="A44" s="15" t="s">
        <v>58</v>
      </c>
      <c r="B44" s="14" t="s">
        <v>41</v>
      </c>
      <c r="C44" s="6">
        <v>172</v>
      </c>
      <c r="D44" s="6">
        <v>46</v>
      </c>
      <c r="E44" s="6">
        <v>29</v>
      </c>
      <c r="F44" s="7">
        <f t="shared" si="0"/>
        <v>0.26744186046511625</v>
      </c>
      <c r="G44" s="7">
        <f t="shared" si="1"/>
        <v>0.16860465116279069</v>
      </c>
      <c r="H44" s="7">
        <f>SQRT(C44/'[1]Trophy Room'!$P$3)</f>
        <v>0.81335014694684937</v>
      </c>
      <c r="I44" s="7">
        <f t="shared" si="2"/>
        <v>0.43604651162790697</v>
      </c>
      <c r="J44" s="8">
        <f t="shared" si="3"/>
        <v>75</v>
      </c>
    </row>
    <row r="45" spans="1:10" ht="30" customHeight="1" x14ac:dyDescent="0.3">
      <c r="A45" s="4" t="s">
        <v>59</v>
      </c>
      <c r="B45" s="5" t="s">
        <v>11</v>
      </c>
      <c r="C45" s="6">
        <v>39</v>
      </c>
      <c r="D45" s="6">
        <v>0</v>
      </c>
      <c r="E45" s="6">
        <v>0</v>
      </c>
      <c r="F45" s="7">
        <f t="shared" si="0"/>
        <v>0</v>
      </c>
      <c r="G45" s="7">
        <f t="shared" si="1"/>
        <v>0</v>
      </c>
      <c r="H45" s="7">
        <f>SQRT(C45/'[1]Trophy Room'!$P$3)</f>
        <v>0.3872983346207417</v>
      </c>
      <c r="I45" s="7">
        <f t="shared" si="2"/>
        <v>0</v>
      </c>
      <c r="J45" s="8">
        <f t="shared" si="3"/>
        <v>0</v>
      </c>
    </row>
    <row r="46" spans="1:10" ht="30" customHeight="1" x14ac:dyDescent="0.3">
      <c r="A46" s="16" t="s">
        <v>60</v>
      </c>
      <c r="B46" s="12" t="s">
        <v>18</v>
      </c>
      <c r="C46" s="6">
        <v>44</v>
      </c>
      <c r="D46" s="6">
        <v>15</v>
      </c>
      <c r="E46" s="6">
        <v>12</v>
      </c>
      <c r="F46" s="7">
        <f t="shared" si="0"/>
        <v>0.34090909090909088</v>
      </c>
      <c r="G46" s="7">
        <f t="shared" si="1"/>
        <v>0.27272727272727271</v>
      </c>
      <c r="H46" s="7">
        <f>SQRT(C46/'[1]Trophy Room'!$P$3)</f>
        <v>0.41137667560372115</v>
      </c>
      <c r="I46" s="7">
        <f t="shared" si="2"/>
        <v>0.61363636363636354</v>
      </c>
      <c r="J46" s="8">
        <f t="shared" si="3"/>
        <v>27</v>
      </c>
    </row>
    <row r="47" spans="1:10" ht="30" customHeight="1" x14ac:dyDescent="0.3">
      <c r="A47" s="15" t="s">
        <v>61</v>
      </c>
      <c r="B47" s="5" t="s">
        <v>11</v>
      </c>
      <c r="C47" s="6">
        <v>84</v>
      </c>
      <c r="D47" s="6">
        <v>1</v>
      </c>
      <c r="E47" s="6">
        <v>5</v>
      </c>
      <c r="F47" s="7">
        <f t="shared" si="0"/>
        <v>1.1904761904761904E-2</v>
      </c>
      <c r="G47" s="7">
        <f t="shared" si="1"/>
        <v>5.9523809523809521E-2</v>
      </c>
      <c r="H47" s="7">
        <f>SQRT(C47/'[1]Trophy Room'!$P$3)</f>
        <v>0.56839856005880507</v>
      </c>
      <c r="I47" s="7">
        <f t="shared" si="2"/>
        <v>7.1428571428571425E-2</v>
      </c>
      <c r="J47" s="8">
        <f t="shared" si="3"/>
        <v>6</v>
      </c>
    </row>
    <row r="48" spans="1:10" ht="30" customHeight="1" x14ac:dyDescent="0.3">
      <c r="A48" s="15" t="s">
        <v>62</v>
      </c>
      <c r="B48" s="14" t="s">
        <v>41</v>
      </c>
      <c r="C48" s="6">
        <v>99</v>
      </c>
      <c r="D48" s="6">
        <v>23</v>
      </c>
      <c r="E48" s="6">
        <v>21</v>
      </c>
      <c r="F48" s="7">
        <f t="shared" si="0"/>
        <v>0.23232323232323232</v>
      </c>
      <c r="G48" s="7">
        <f t="shared" si="1"/>
        <v>0.21212121212121213</v>
      </c>
      <c r="H48" s="7">
        <f>SQRT(C48/'[1]Trophy Room'!$P$3)</f>
        <v>0.61706501340558173</v>
      </c>
      <c r="I48" s="7">
        <f t="shared" si="2"/>
        <v>0.44444444444444442</v>
      </c>
      <c r="J48" s="8">
        <f t="shared" si="3"/>
        <v>44</v>
      </c>
    </row>
    <row r="49" spans="1:10" ht="30" customHeight="1" x14ac:dyDescent="0.3">
      <c r="A49" s="17" t="s">
        <v>63</v>
      </c>
      <c r="B49" s="5" t="s">
        <v>11</v>
      </c>
      <c r="C49" s="6">
        <v>143</v>
      </c>
      <c r="D49" s="6">
        <v>0</v>
      </c>
      <c r="E49" s="6">
        <v>4</v>
      </c>
      <c r="F49" s="7">
        <f t="shared" si="0"/>
        <v>0</v>
      </c>
      <c r="G49" s="7">
        <f t="shared" si="1"/>
        <v>2.7972027972027972E-2</v>
      </c>
      <c r="H49" s="7">
        <f>SQRT(C49/'[1]Trophy Room'!$P$3)</f>
        <v>0.74161984870956632</v>
      </c>
      <c r="I49" s="7">
        <f t="shared" si="2"/>
        <v>2.7972027972027972E-2</v>
      </c>
      <c r="J49" s="8">
        <f t="shared" si="3"/>
        <v>4</v>
      </c>
    </row>
    <row r="50" spans="1:10" ht="30" customHeight="1" x14ac:dyDescent="0.3">
      <c r="A50" s="15" t="s">
        <v>64</v>
      </c>
      <c r="B50" s="14" t="s">
        <v>41</v>
      </c>
      <c r="C50" s="6">
        <v>184</v>
      </c>
      <c r="D50" s="6">
        <v>59</v>
      </c>
      <c r="E50" s="6">
        <v>44</v>
      </c>
      <c r="F50" s="7">
        <f t="shared" si="0"/>
        <v>0.32065217391304346</v>
      </c>
      <c r="G50" s="7">
        <f t="shared" si="1"/>
        <v>0.2391304347826087</v>
      </c>
      <c r="H50" s="7">
        <f>SQRT(C50/'[1]Trophy Room'!$P$3)</f>
        <v>0.84124449935337331</v>
      </c>
      <c r="I50" s="7">
        <f t="shared" si="2"/>
        <v>0.55978260869565211</v>
      </c>
      <c r="J50" s="8">
        <f t="shared" si="3"/>
        <v>103</v>
      </c>
    </row>
    <row r="51" spans="1:10" ht="30" customHeight="1" x14ac:dyDescent="0.3">
      <c r="A51" s="15" t="s">
        <v>65</v>
      </c>
      <c r="B51" s="14" t="s">
        <v>41</v>
      </c>
      <c r="C51" s="6">
        <v>96</v>
      </c>
      <c r="D51" s="6">
        <v>92</v>
      </c>
      <c r="E51" s="6">
        <v>28</v>
      </c>
      <c r="F51" s="7">
        <f t="shared" si="0"/>
        <v>0.95833333333333337</v>
      </c>
      <c r="G51" s="7">
        <f t="shared" si="1"/>
        <v>0.29166666666666669</v>
      </c>
      <c r="H51" s="7">
        <f>SQRT(C51/'[1]Trophy Room'!$P$3)</f>
        <v>0.60764362025020002</v>
      </c>
      <c r="I51" s="7">
        <f t="shared" si="2"/>
        <v>1.25</v>
      </c>
      <c r="J51" s="8">
        <f t="shared" si="3"/>
        <v>120</v>
      </c>
    </row>
    <row r="52" spans="1:10" ht="30" customHeight="1" x14ac:dyDescent="0.3">
      <c r="A52" s="15" t="s">
        <v>66</v>
      </c>
      <c r="B52" s="12" t="s">
        <v>18</v>
      </c>
      <c r="C52" s="6">
        <v>40</v>
      </c>
      <c r="D52" s="6">
        <v>11</v>
      </c>
      <c r="E52" s="6">
        <v>10</v>
      </c>
      <c r="F52" s="7">
        <f t="shared" si="0"/>
        <v>0.27500000000000002</v>
      </c>
      <c r="G52" s="7">
        <f t="shared" si="1"/>
        <v>0.25</v>
      </c>
      <c r="H52" s="7">
        <f>SQRT(C52/'[1]Trophy Room'!$P$3)</f>
        <v>0.39223227027636809</v>
      </c>
      <c r="I52" s="7">
        <f t="shared" si="2"/>
        <v>0.52500000000000002</v>
      </c>
      <c r="J52" s="8">
        <f t="shared" si="3"/>
        <v>21</v>
      </c>
    </row>
    <row r="53" spans="1:10" ht="30" customHeight="1" x14ac:dyDescent="0.3">
      <c r="A53" s="15" t="s">
        <v>67</v>
      </c>
      <c r="B53" s="14" t="s">
        <v>41</v>
      </c>
      <c r="C53" s="18">
        <v>231</v>
      </c>
      <c r="D53" s="18">
        <v>140</v>
      </c>
      <c r="E53" s="18">
        <v>69</v>
      </c>
      <c r="F53" s="19">
        <f t="shared" si="0"/>
        <v>0.60606060606060608</v>
      </c>
      <c r="G53" s="19">
        <f t="shared" si="1"/>
        <v>0.29870129870129869</v>
      </c>
      <c r="H53" s="19">
        <f>SQRT(C53/'[1]Trophy Room'!$P$3)</f>
        <v>0.94258237754667284</v>
      </c>
      <c r="I53" s="19">
        <f t="shared" si="2"/>
        <v>0.90476190476190477</v>
      </c>
      <c r="J53" s="20">
        <f t="shared" si="3"/>
        <v>209</v>
      </c>
    </row>
    <row r="54" spans="1:10" ht="30" customHeight="1" x14ac:dyDescent="0.3">
      <c r="A54" s="15" t="s">
        <v>68</v>
      </c>
      <c r="B54" s="13" t="s">
        <v>21</v>
      </c>
      <c r="C54" s="6">
        <v>93</v>
      </c>
      <c r="D54" s="6">
        <v>6</v>
      </c>
      <c r="E54" s="6">
        <v>9</v>
      </c>
      <c r="F54" s="7">
        <f t="shared" si="0"/>
        <v>6.4516129032258063E-2</v>
      </c>
      <c r="G54" s="7">
        <f t="shared" si="1"/>
        <v>9.6774193548387094E-2</v>
      </c>
      <c r="H54" s="7">
        <f>SQRT(C54/'[1]Trophy Room'!$P$3)</f>
        <v>0.59807383130538971</v>
      </c>
      <c r="I54" s="7">
        <f t="shared" si="2"/>
        <v>0.16129032258064516</v>
      </c>
      <c r="J54" s="8">
        <f t="shared" si="3"/>
        <v>15</v>
      </c>
    </row>
    <row r="55" spans="1:10" ht="30" customHeight="1" x14ac:dyDescent="0.3">
      <c r="A55" s="15" t="s">
        <v>69</v>
      </c>
      <c r="B55" s="5" t="s">
        <v>11</v>
      </c>
      <c r="C55" s="6">
        <v>15</v>
      </c>
      <c r="D55" s="6">
        <v>0</v>
      </c>
      <c r="E55" s="6">
        <v>0</v>
      </c>
      <c r="F55" s="7">
        <f t="shared" si="0"/>
        <v>0</v>
      </c>
      <c r="G55" s="7">
        <f t="shared" si="1"/>
        <v>0</v>
      </c>
      <c r="H55" s="7">
        <f>SQRT(C55/'[1]Trophy Room'!$P$3)</f>
        <v>0.24019223070763071</v>
      </c>
      <c r="I55" s="7">
        <f t="shared" si="2"/>
        <v>0</v>
      </c>
      <c r="J55" s="8">
        <f t="shared" si="3"/>
        <v>0</v>
      </c>
    </row>
    <row r="56" spans="1:10" ht="30" customHeight="1" x14ac:dyDescent="0.3">
      <c r="A56" s="15" t="s">
        <v>70</v>
      </c>
      <c r="B56" s="5" t="s">
        <v>11</v>
      </c>
      <c r="C56" s="6">
        <v>205</v>
      </c>
      <c r="D56" s="6">
        <v>4</v>
      </c>
      <c r="E56" s="6">
        <v>27</v>
      </c>
      <c r="F56" s="7">
        <f t="shared" si="0"/>
        <v>1.9512195121951219E-2</v>
      </c>
      <c r="G56" s="7">
        <f t="shared" si="1"/>
        <v>0.13170731707317074</v>
      </c>
      <c r="H56" s="7">
        <f>SQRT(C56/'[1]Trophy Room'!$P$3)</f>
        <v>0.88795356773963041</v>
      </c>
      <c r="I56" s="7">
        <f t="shared" si="2"/>
        <v>0.15121951219512195</v>
      </c>
      <c r="J56" s="8">
        <f t="shared" si="3"/>
        <v>31</v>
      </c>
    </row>
    <row r="57" spans="1:10" ht="30" customHeight="1" x14ac:dyDescent="0.3">
      <c r="A57" s="15" t="s">
        <v>71</v>
      </c>
      <c r="B57" s="21" t="s">
        <v>14</v>
      </c>
      <c r="C57" s="18">
        <v>69</v>
      </c>
      <c r="D57" s="18">
        <v>16</v>
      </c>
      <c r="E57" s="18">
        <v>15</v>
      </c>
      <c r="F57" s="19">
        <f t="shared" si="0"/>
        <v>0.2318840579710145</v>
      </c>
      <c r="G57" s="19">
        <f t="shared" si="1"/>
        <v>0.21739130434782608</v>
      </c>
      <c r="H57" s="19">
        <f>SQRT(C57/'[1]Trophy Room'!$P$3)</f>
        <v>0.51515494308471443</v>
      </c>
      <c r="I57" s="19">
        <f t="shared" si="2"/>
        <v>0.44927536231884058</v>
      </c>
      <c r="J57" s="20">
        <f t="shared" si="3"/>
        <v>31</v>
      </c>
    </row>
    <row r="58" spans="1:10" ht="30" customHeight="1" x14ac:dyDescent="0.3">
      <c r="A58" s="15" t="s">
        <v>72</v>
      </c>
      <c r="B58" s="5" t="s">
        <v>11</v>
      </c>
      <c r="C58" s="18">
        <v>173</v>
      </c>
      <c r="D58" s="18">
        <v>2</v>
      </c>
      <c r="E58" s="18">
        <v>2</v>
      </c>
      <c r="F58" s="19">
        <f t="shared" si="0"/>
        <v>1.1560693641618497E-2</v>
      </c>
      <c r="G58" s="19">
        <f t="shared" si="1"/>
        <v>1.1560693641618497E-2</v>
      </c>
      <c r="H58" s="19">
        <f>SQRT(C58/'[1]Trophy Room'!$P$3)</f>
        <v>0.81571111024958787</v>
      </c>
      <c r="I58" s="19">
        <f t="shared" si="2"/>
        <v>2.3121387283236993E-2</v>
      </c>
      <c r="J58" s="20">
        <f t="shared" si="3"/>
        <v>4</v>
      </c>
    </row>
    <row r="59" spans="1:10" ht="30" customHeight="1" x14ac:dyDescent="0.3">
      <c r="A59" s="15" t="s">
        <v>73</v>
      </c>
      <c r="B59" s="13" t="s">
        <v>21</v>
      </c>
      <c r="C59" s="18">
        <v>30</v>
      </c>
      <c r="D59" s="18">
        <v>0</v>
      </c>
      <c r="E59" s="18">
        <v>1</v>
      </c>
      <c r="F59" s="19">
        <f t="shared" si="0"/>
        <v>0</v>
      </c>
      <c r="G59" s="19">
        <f t="shared" si="1"/>
        <v>3.3333333333333333E-2</v>
      </c>
      <c r="H59" s="19">
        <f>SQRT(C59/'[1]Trophy Room'!$P$3)</f>
        <v>0.33968311024337872</v>
      </c>
      <c r="I59" s="19">
        <f t="shared" si="2"/>
        <v>3.3333333333333333E-2</v>
      </c>
      <c r="J59" s="20">
        <f t="shared" si="3"/>
        <v>1</v>
      </c>
    </row>
    <row r="60" spans="1:10" ht="30" customHeight="1" x14ac:dyDescent="0.3">
      <c r="A60" s="15" t="s">
        <v>74</v>
      </c>
      <c r="B60" s="5" t="s">
        <v>11</v>
      </c>
      <c r="C60" s="6">
        <v>61</v>
      </c>
      <c r="D60" s="6">
        <v>0</v>
      </c>
      <c r="E60" s="6">
        <v>0</v>
      </c>
      <c r="F60" s="7">
        <f t="shared" si="0"/>
        <v>0</v>
      </c>
      <c r="G60" s="7">
        <f t="shared" si="1"/>
        <v>0</v>
      </c>
      <c r="H60" s="7">
        <f>SQRT(C60/'[1]Trophy Room'!$P$3)</f>
        <v>0.48437112281326661</v>
      </c>
      <c r="I60" s="7">
        <f t="shared" si="2"/>
        <v>0</v>
      </c>
      <c r="J60" s="8">
        <f t="shared" si="3"/>
        <v>0</v>
      </c>
    </row>
    <row r="61" spans="1:10" ht="30" customHeight="1" x14ac:dyDescent="0.3">
      <c r="A61" s="15" t="s">
        <v>75</v>
      </c>
      <c r="B61" s="22" t="s">
        <v>11</v>
      </c>
      <c r="C61" s="18">
        <v>60</v>
      </c>
      <c r="D61" s="18">
        <v>0</v>
      </c>
      <c r="E61" s="18">
        <v>1</v>
      </c>
      <c r="F61" s="19">
        <f t="shared" si="0"/>
        <v>0</v>
      </c>
      <c r="G61" s="19">
        <f t="shared" si="1"/>
        <v>1.6666666666666666E-2</v>
      </c>
      <c r="H61" s="19">
        <f>SQRT(C61/'[1]Trophy Room'!$P$3)</f>
        <v>0.48038446141526142</v>
      </c>
      <c r="I61" s="19">
        <f t="shared" si="2"/>
        <v>1.6666666666666666E-2</v>
      </c>
      <c r="J61" s="20">
        <f t="shared" si="3"/>
        <v>1</v>
      </c>
    </row>
    <row r="62" spans="1:10" ht="30" customHeight="1" x14ac:dyDescent="0.3">
      <c r="A62" s="15" t="s">
        <v>76</v>
      </c>
      <c r="B62" s="11" t="s">
        <v>41</v>
      </c>
      <c r="C62" s="6">
        <v>15</v>
      </c>
      <c r="D62" s="6">
        <v>4</v>
      </c>
      <c r="E62" s="6">
        <v>5</v>
      </c>
      <c r="F62" s="7">
        <f>D62/C62</f>
        <v>0.26666666666666666</v>
      </c>
      <c r="G62" s="7">
        <f>E62/C62</f>
        <v>0.33333333333333331</v>
      </c>
      <c r="H62" s="7">
        <f>SQRT(C62/'[1]Trophy Room'!$P$3)</f>
        <v>0.24019223070763071</v>
      </c>
      <c r="I62" s="7">
        <f>F62+G62</f>
        <v>0.6</v>
      </c>
      <c r="J62" s="8">
        <f>D62+E62</f>
        <v>9</v>
      </c>
    </row>
    <row r="63" spans="1:10" ht="30" customHeight="1" x14ac:dyDescent="0.3">
      <c r="A63" s="15" t="s">
        <v>77</v>
      </c>
      <c r="B63" s="11" t="s">
        <v>14</v>
      </c>
      <c r="C63" s="6">
        <v>1</v>
      </c>
      <c r="D63" s="6">
        <v>0</v>
      </c>
      <c r="E63" s="6">
        <v>0</v>
      </c>
      <c r="F63" s="7">
        <f>D63/C63</f>
        <v>0</v>
      </c>
      <c r="G63" s="7">
        <f>E63/C63</f>
        <v>0</v>
      </c>
      <c r="H63" s="7">
        <f>SQRT(C63/'[1]Trophy Room'!$P$3)</f>
        <v>6.2017367294604227E-2</v>
      </c>
      <c r="I63" s="7">
        <f>F63+G63</f>
        <v>0</v>
      </c>
      <c r="J63" s="8">
        <f>D63+E63</f>
        <v>0</v>
      </c>
    </row>
    <row r="64" spans="1:10" ht="30" customHeight="1" x14ac:dyDescent="0.3">
      <c r="A64" s="15" t="s">
        <v>78</v>
      </c>
      <c r="B64" s="11" t="s">
        <v>14</v>
      </c>
      <c r="C64" s="6">
        <v>6</v>
      </c>
      <c r="D64" s="6">
        <v>2</v>
      </c>
      <c r="E64" s="6">
        <v>1</v>
      </c>
      <c r="F64" s="7">
        <f>D64/C64</f>
        <v>0.33333333333333331</v>
      </c>
      <c r="G64" s="7">
        <f>E64/C64</f>
        <v>0.16666666666666666</v>
      </c>
      <c r="H64" s="7">
        <f>SQRT(C64/'[1]Trophy Room'!$P$3)</f>
        <v>0.15191090506255001</v>
      </c>
      <c r="I64" s="7">
        <f>F64+G64</f>
        <v>0.5</v>
      </c>
      <c r="J64" s="8">
        <f>D64+E64</f>
        <v>3</v>
      </c>
    </row>
    <row r="65" spans="1:10" ht="30" customHeight="1" x14ac:dyDescent="0.3">
      <c r="A65" s="15" t="s">
        <v>79</v>
      </c>
      <c r="B65" s="11" t="s">
        <v>11</v>
      </c>
      <c r="C65" s="6">
        <v>40</v>
      </c>
      <c r="D65" s="6">
        <v>1</v>
      </c>
      <c r="E65" s="6">
        <v>0</v>
      </c>
      <c r="F65" s="7">
        <f>D65/C65</f>
        <v>2.5000000000000001E-2</v>
      </c>
      <c r="G65" s="7">
        <f>E65/C65</f>
        <v>0</v>
      </c>
      <c r="H65" s="7">
        <f>SQRT(C65/'[1]Trophy Room'!$P$3)</f>
        <v>0.39223227027636809</v>
      </c>
      <c r="I65" s="7">
        <f>F65+G65</f>
        <v>2.5000000000000001E-2</v>
      </c>
      <c r="J65" s="8">
        <f>D65+E65</f>
        <v>1</v>
      </c>
    </row>
    <row r="66" spans="1:10" ht="30" customHeight="1" x14ac:dyDescent="0.3">
      <c r="A66" s="15" t="s">
        <v>80</v>
      </c>
      <c r="B66" s="23" t="s">
        <v>11</v>
      </c>
      <c r="C66" s="18">
        <v>15</v>
      </c>
      <c r="D66" s="18">
        <v>0</v>
      </c>
      <c r="E66" s="18">
        <v>0</v>
      </c>
      <c r="F66" s="19">
        <f t="shared" ref="F66" si="4">D66/C66</f>
        <v>0</v>
      </c>
      <c r="G66" s="19">
        <f t="shared" ref="G66" si="5">E66/C66</f>
        <v>0</v>
      </c>
      <c r="H66" s="19">
        <f>SQRT(C66/'[1]Trophy Room'!$P$3)</f>
        <v>0.24019223070763071</v>
      </c>
      <c r="I66" s="19">
        <f t="shared" ref="I66" si="6">F66+G66</f>
        <v>0</v>
      </c>
      <c r="J66" s="20">
        <f t="shared" ref="J66" si="7">D66+E66</f>
        <v>0</v>
      </c>
    </row>
  </sheetData>
  <pageMargins left="0.7" right="0.7" top="0.75" bottom="0.75" header="0.3" footer="0.3"/>
  <headerFooter>
    <oddFooter>&amp;L_x000D_&amp;1#&amp;"Aptos"&amp;10&amp;K000000 Public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U</dc:creator>
  <cp:lastModifiedBy>Arda Ucok</cp:lastModifiedBy>
  <dcterms:created xsi:type="dcterms:W3CDTF">2015-06-05T18:17:20Z</dcterms:created>
  <dcterms:modified xsi:type="dcterms:W3CDTF">2026-09-09T11:58:41Z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8e67e2-640d-4d6f-865f-a863675be990_Enabled">
    <vt:lpwstr>true</vt:lpwstr>
  </property>
  <property fmtid="{D5CDD505-2E9C-101B-9397-08002B2CF9AE}" pid="3" name="MSIP_Label_188e67e2-640d-4d6f-865f-a863675be990_SetDate">
    <vt:lpwstr>2026-09-09T11:58:03Z</vt:lpwstr>
  </property>
  <property fmtid="{D5CDD505-2E9C-101B-9397-08002B2CF9AE}" pid="4" name="MSIP_Label_188e67e2-640d-4d6f-865f-a863675be990_Method">
    <vt:lpwstr>Privileged</vt:lpwstr>
  </property>
  <property fmtid="{D5CDD505-2E9C-101B-9397-08002B2CF9AE}" pid="5" name="MSIP_Label_188e67e2-640d-4d6f-865f-a863675be990_Name">
    <vt:lpwstr>Public</vt:lpwstr>
  </property>
  <property fmtid="{D5CDD505-2E9C-101B-9397-08002B2CF9AE}" pid="6" name="MSIP_Label_188e67e2-640d-4d6f-865f-a863675be990_SiteId">
    <vt:lpwstr>8ce6dfd4-5866-4fdb-90d0-fb4a65d44617</vt:lpwstr>
  </property>
  <property fmtid="{D5CDD505-2E9C-101B-9397-08002B2CF9AE}" pid="7" name="MSIP_Label_188e67e2-640d-4d6f-865f-a863675be990_ActionId">
    <vt:lpwstr>545a4736-23ea-4645-a7a6-5ae4508682a2</vt:lpwstr>
  </property>
  <property fmtid="{D5CDD505-2E9C-101B-9397-08002B2CF9AE}" pid="8" name="MSIP_Label_188e67e2-640d-4d6f-865f-a863675be990_ContentBits">
    <vt:lpwstr>2</vt:lpwstr>
  </property>
  <property fmtid="{D5CDD505-2E9C-101B-9397-08002B2CF9AE}" pid="9" name="MSIP_Label_188e67e2-640d-4d6f-865f-a863675be990_Tag">
    <vt:lpwstr>10, 0, 1, 1</vt:lpwstr>
  </property>
</Properties>
</file>